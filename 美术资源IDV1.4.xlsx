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规则" sheetId="2" r:id="rId5"/>
    <sheet name="技能和球" sheetId="3" r:id="rId6"/>
    <sheet name="单位" sheetId="4" r:id="rId7"/>
    <sheet name="物品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5" authorId="0" shapeId="0" xr:uid="{b1994369-dfac-4730-81c8-f858f23ef910}">
      <text>
        <r>
          <t xml:space="preserve">作者:
加色部分表示需要空的命名，但不需要实际的撞击特效,点可以不用管。因为effect特效会把它挡住。</t>
        </r>
      </text>
    </comment>
    <comment ref="J1" authorId="0" shapeId="0" xr:uid="{82d29c44-145c-49c6-a030-11833d26f4d1}">
      <text>
        <r>
          <t xml:space="preserve">作者:
0星没有后缀，1星，2星用_1,_2</t>
        </r>
      </text>
    </comment>
    <comment ref="F1" authorId="0" shapeId="0" xr:uid="{c2753a5d-8a60-46c3-9701-407d3c480f4c}">
      <text>
        <r>
          <rPr>
            <b/>
            <sz val="9"/>
            <color rgb="FF000000"/>
            <rFont val="Calibri"/>
            <family val="2"/>
          </rPr>
          <t>作者:</t>
        </r>
        <r>
          <rPr>
            <sz val="9"/>
            <color rgb="FF000000"/>
            <rFont val="Calibri"/>
            <family val="2"/>
          </rPr>
          <t xml:space="preserve">
0星没有后缀，1星用_1，程序自动读取</t>
        </r>
      </text>
    </comment>
    <comment ref="F12" authorId="0" shapeId="0" xr:uid="{ef4c0307-81e4-439e-8e79-a0bb5ce1c581}">
      <text>
        <r>
          <t xml:space="preserve">作者:
迷你子弹做1个，其他复制即可，但命名需要都相应改掉</t>
        </r>
      </text>
    </comment>
  </commentList>
</comments>
</file>

<file path=xl/sharedStrings.xml><?xml version="1.0" encoding="utf-8"?>
<sst xmlns="http://schemas.openxmlformats.org/spreadsheetml/2006/main" count="7" uniqueCount="7">
  <si>
    <t xml:space="preserve">  </t>
  </si>
  <si>
    <t/>
    <r>
      <t>基础造成300%攻击力伤害。可在撞击点产生冰川，持续5秒，每秒炸裂周围1.5格造成200%攻击力的伤害和减移速30%。CD5秒。</t>
    </r>
    <r>
      <rPr>
        <sz val="10.5"/>
        <color rgb="FFF79646"/>
        <rFont val="Calibri"/>
        <family val="2"/>
      </rPr>
      <t>激光类技能射过冰川时将切割产生冰锥，最多产生</t>
    </r>
    <r>
      <rPr>
        <sz val="10.5"/>
        <color rgb="FFF79646"/>
        <rFont val="Calibri"/>
        <family val="2"/>
      </rPr>
      <t>3</t>
    </r>
    <r>
      <rPr>
        <sz val="10.5"/>
        <color rgb="FFF79646"/>
        <rFont val="Calibri"/>
        <family val="2"/>
      </rPr>
      <t xml:space="preserve">个。 冰锥可移动，攻击时造成200%攻击力的伤害</t>
    </r>
  </si>
  <si>
    <t/>
    <r>
      <t>基础造成600%攻击力伤害。可在撞击点产生熔岩风暴，持续5秒，每秒炸裂周围1.5格造成500%攻击力的伤害，CD5秒。</t>
    </r>
    <r>
      <rPr>
        <sz val="10.5"/>
        <color rgb="FFF79646"/>
        <rFont val="Calibri"/>
        <family val="2"/>
      </rPr>
      <t>熔岩对中毒单位时将产生强硫酸效果，额外造成</t>
    </r>
    <r>
      <rPr>
        <sz val="10.5"/>
        <color rgb="FFF79646"/>
        <rFont val="Calibri"/>
        <family val="2"/>
      </rPr>
      <t>50</t>
    </r>
    <r>
      <rPr>
        <sz val="10.5"/>
        <color rgb="FFF79646"/>
        <rFont val="Calibri"/>
        <family val="2"/>
      </rPr>
      <t>0%攻击力的伤害并使其点燃，施加3秒每层100%攻击力的燃烧。</t>
    </r>
  </si>
  <si>
    <t/>
    <r>
      <t>撞击造成300%攻击力的伤害。撞击后可让敌人每1秒被闪电打中，并对周围最多7个敌人造成100%攻击力的伤害，避雷针持续5秒，发动CD5秒。</t>
    </r>
    <r>
      <rPr>
        <sz val="10.5"/>
        <color rgb="FFF79646"/>
        <rFont val="Calibri"/>
        <family val="2"/>
      </rPr>
      <t>闪电对冰冻单位将产生电流，额外造成</t>
    </r>
    <r>
      <rPr>
        <sz val="10.5"/>
        <color rgb="FFF79646"/>
        <rFont val="Calibri"/>
        <family val="2"/>
      </rPr>
      <t>10</t>
    </r>
    <r>
      <rPr>
        <sz val="10.5"/>
        <color rgb="FFF79646"/>
        <rFont val="Calibri"/>
        <family val="2"/>
      </rPr>
      <t>0%攻击力伤害</t>
    </r>
  </si>
  <si>
    <t/>
    <r>
      <t>基础造成600%攻击力伤害。可在撞击点产生大冰川，持续5秒，每秒炸裂周围1.5格造成500%攻击力的伤害。CD5秒。</t>
    </r>
    <r>
      <rPr>
        <sz val="10.5"/>
        <color rgb="FFF79646"/>
        <rFont val="Calibri"/>
        <family val="2"/>
      </rPr>
      <t>激光类技能射过冰川时将切割产生大冰锥，最多产生</t>
    </r>
    <r>
      <rPr>
        <sz val="10.5"/>
        <color rgb="FFF79646"/>
        <rFont val="Calibri"/>
        <family val="2"/>
      </rPr>
      <t>3</t>
    </r>
    <r>
      <rPr>
        <sz val="10.5"/>
        <color rgb="FFF79646"/>
        <rFont val="Calibri"/>
        <family val="2"/>
      </rPr>
      <t xml:space="preserve">个。 大冰锥可移动，攻击时造成冰冻1秒和500%攻击力的伤害</t>
    </r>
  </si>
  <si>
    <t/>
    <r>
      <t>基础造成</t>
    </r>
    <r>
      <rPr>
        <sz val="10.5"/>
        <color rgb="FF000000"/>
        <rFont val="Calibri"/>
        <family val="2"/>
      </rPr>
      <t>3</t>
    </r>
    <r>
      <rPr>
        <sz val="10.5"/>
        <color rgb="FF000000"/>
        <rFont val="Calibri"/>
        <family val="2"/>
      </rPr>
      <t>00%攻击力伤害。可在撞击点产生熔岩，持续5秒，每秒炸裂周围1.5格造成240%攻击力的伤害，CD5秒。</t>
    </r>
    <r>
      <rPr>
        <sz val="10.5"/>
        <color rgb="FFF79646"/>
        <rFont val="Calibri"/>
        <family val="2"/>
      </rPr>
      <t>熔岩对中毒单位时将产生硫酸效果，再次造成200%攻击力的伤害</t>
    </r>
  </si>
  <si>
    <t/>
    <r>
      <t>基础造成300%攻击力伤害。</t>
    </r>
    <r>
      <rPr>
        <sz val="10.5"/>
        <color rgb="FF000000"/>
        <rFont val="Calibri"/>
        <family val="2"/>
      </rPr>
      <t>每次撞击怪物从屏幕底部额外射出1道霜炎喷射（自动跟踪，没目标就朝上空放，最多飞行4秒），对敌人造成1000%伤害，CD2秒。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</si>
</sst>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theme="1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10.5"/>
      <color rgb="FFFFFFFF"/>
      <name val="Calibri"/>
      <family val="2"/>
      <scheme val="minor"/>
    </font>
    <font>
      <sz val="9.75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C2D69B"/>
        <bgColor/>
      </patternFill>
    </fill>
    <fill>
      <patternFill patternType="solid">
        <fgColor rgb="FFFDE9D9"/>
        <bgColor/>
      </patternFill>
    </fill>
    <fill>
      <patternFill patternType="solid">
        <fgColor rgb="FFFABF8F"/>
        <bgColor/>
      </patternFill>
    </fill>
    <fill>
      <patternFill patternType="solid">
        <fgColor rgb="FF7030A0"/>
        <bgColor/>
      </patternFill>
    </fill>
    <fill>
      <patternFill patternType="solid">
        <fgColor rgb="FFFBD4B4"/>
        <bgColor/>
      </patternFill>
    </fill>
    <fill>
      <patternFill patternType="solid">
        <fgColor rgb="FFFBD4B4"/>
        <bgColor/>
      </patternFill>
    </fill>
    <fill>
      <patternFill patternType="solid">
        <fgColor rgb="FFB97034"/>
        <bgColor/>
      </patternFill>
    </fill>
    <fill>
      <patternFill patternType="solid">
        <fgColor rgb="FFB6DDE8"/>
        <bgColor/>
      </patternFill>
    </fill>
    <fill>
      <patternFill patternType="solid">
        <fgColor rgb="FFFFFF00"/>
        <bgColor/>
      </patternFill>
    </fill>
    <fill>
      <patternFill patternType="solid">
        <fgColor rgb="FF604B79"/>
        <bgColor/>
      </patternFill>
    </fill>
    <fill>
      <patternFill patternType="solid">
        <fgColor rgb="FF388194"/>
        <bgColor/>
      </patternFill>
    </fill>
    <fill>
      <patternFill patternType="solid">
        <fgColor rgb="FF604B79"/>
        <bgColor/>
      </patternFill>
    </fill>
    <fill>
      <patternFill patternType="solid">
        <fgColor rgb="FF388194"/>
        <bgColor/>
      </patternFill>
    </fill>
    <fill>
      <patternFill patternType="solid">
        <fgColor rgb="FFB97034"/>
        <bgColor/>
      </patternFill>
    </fill>
    <fill>
      <patternFill patternType="solid">
        <fgColor rgb="FFB97034"/>
        <bgColor/>
      </patternFill>
    </fill>
    <fill>
      <patternFill patternType="solid">
        <fgColor rgb="FFFDE9D9"/>
        <bgColor/>
      </patternFill>
    </fill>
    <fill>
      <patternFill patternType="solid">
        <fgColor rgb="FFFFC7CE"/>
        <bgColor/>
      </patternFill>
    </fill>
    <fill>
      <patternFill patternType="solid">
        <fgColor rgb="FFFFEB9C"/>
        <bgColor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vertical="bottom"/>
    </xf>
    <xf applyAlignment="true" applyBorder="false" applyFill="true" applyFont="true" applyNumberFormat="false" applyProtection="false" borderId="6" fillId="2" fontId="2" numFmtId="0" xfId="0">
      <alignment vertical="bottom"/>
    </xf>
    <xf applyAlignment="true" applyBorder="false" applyFill="true" applyFont="true" applyNumberFormat="false" applyProtection="false" borderId="7" fillId="3" fontId="2" numFmtId="0" xfId="0">
      <alignment vertical="bottom"/>
    </xf>
    <xf applyAlignment="true" applyBorder="false" applyFill="false" applyFont="true" applyNumberFormat="false" applyProtection="false" borderId="8" fillId="0" fontId="5" numFmtId="0" xfId="0">
      <alignment horizontal="left" vertical="center"/>
    </xf>
    <xf applyAlignment="true" applyBorder="false" applyFill="false" applyFont="true" applyNumberFormat="false" applyProtection="false" borderId="9" fillId="0" fontId="4" numFmtId="0" xfId="0">
      <alignment vertical="center" wrapText="true"/>
    </xf>
    <xf applyAlignment="true" applyBorder="false" applyFill="false" applyFont="true" applyNumberFormat="false" applyProtection="false" borderId="10" fillId="0" fontId="4" numFmtId="0" xfId="0">
      <alignment horizontal="left" vertical="center"/>
    </xf>
    <xf applyAlignment="true" applyBorder="false" applyFill="false" applyFont="true" applyNumberFormat="false" applyProtection="false" borderId="11" fillId="0" fontId="2" numFmtId="0" xfId="0">
      <alignment vertical="bottom" wrapText="true"/>
    </xf>
    <xf applyAlignment="true" applyBorder="false" applyFill="true" applyFont="true" applyNumberFormat="false" applyProtection="false" borderId="12" fillId="4" fontId="4" numFmtId="0" xfId="0">
      <alignment horizontal="left" vertical="center"/>
    </xf>
    <xf applyAlignment="true" applyBorder="false" applyFill="false" applyFont="true" applyNumberFormat="false" applyProtection="false" borderId="13" fillId="0" fontId="4" numFmtId="0" xfId="0">
      <alignment vertical="center"/>
    </xf>
    <xf applyAlignment="true" applyBorder="false" applyFill="true" applyFont="true" applyNumberFormat="false" applyProtection="false" borderId="14" fillId="5" fontId="4" numFmtId="0" xfId="0">
      <alignment horizontal="left" vertical="center"/>
    </xf>
    <xf applyAlignment="true" applyBorder="false" applyFill="true" applyFont="true" applyNumberFormat="false" applyProtection="false" borderId="15" fillId="6" fontId="2" numFmtId="0" xfId="0">
      <alignment vertical="bottom"/>
    </xf>
    <xf applyAlignment="true" applyBorder="false" applyFill="true" applyFont="true" applyNumberFormat="false" applyProtection="false" borderId="16" fillId="7" fontId="4" numFmtId="0" xfId="0">
      <alignment horizontal="left" vertical="center"/>
    </xf>
    <xf applyAlignment="true" applyBorder="false" applyFill="true" applyFont="true" applyNumberFormat="false" applyProtection="false" borderId="17" fillId="8" fontId="2" numFmtId="0" xfId="0">
      <alignment vertical="bottom"/>
    </xf>
    <xf applyAlignment="true" applyBorder="false" applyFill="true" applyFont="true" applyNumberFormat="false" applyProtection="false" borderId="18" fillId="9" fontId="2" numFmtId="0" xfId="0">
      <alignment vertical="bottom" wrapText="true"/>
    </xf>
    <xf applyAlignment="true" applyBorder="false" applyFill="false" applyFont="true" applyNumberFormat="false" applyProtection="false" borderId="19" fillId="0" fontId="4" numFmtId="0" xfId="0">
      <alignment vertical="bottom" wrapText="true"/>
    </xf>
    <xf applyAlignment="true" applyBorder="false" applyFill="true" applyFont="true" applyNumberFormat="false" applyProtection="false" borderId="20" fillId="10" fontId="4" numFmtId="0" xfId="0">
      <alignment horizontal="left" vertical="center"/>
    </xf>
    <xf applyAlignment="true" applyBorder="false" applyFill="true" applyFont="true" applyNumberFormat="false" applyProtection="false" borderId="21" fillId="11" fontId="6" numFmtId="0" xfId="0">
      <alignment vertical="bottom"/>
    </xf>
    <xf applyAlignment="true" applyBorder="false" applyFill="false" applyFont="true" applyNumberFormat="false" applyProtection="false" borderId="22" fillId="0" fontId="7" numFmtId="0" xfId="0">
      <alignment vertical="center"/>
    </xf>
    <xf applyAlignment="true" applyBorder="false" applyFill="true" applyFont="true" applyNumberFormat="false" applyProtection="false" borderId="23" fillId="12" fontId="6" numFmtId="0" xfId="0">
      <alignment vertical="bottom"/>
    </xf>
    <xf applyAlignment="true" applyBorder="false" applyFill="true" applyFont="true" applyNumberFormat="false" applyProtection="false" borderId="24" fillId="13" fontId="6" numFmtId="0" xfId="0">
      <alignment vertical="bottom" wrapText="true"/>
    </xf>
    <xf applyAlignment="true" applyBorder="false" applyFill="true" applyFont="true" applyNumberFormat="false" applyProtection="false" borderId="25" fillId="14" fontId="6" numFmtId="0" xfId="0">
      <alignment vertical="bottom" wrapText="true"/>
    </xf>
    <xf applyAlignment="true" applyBorder="false" applyFill="true" applyFont="true" applyNumberFormat="false" applyProtection="false" borderId="26" fillId="15" fontId="1" numFmtId="0" xfId="0">
      <alignment vertical="bottom"/>
    </xf>
    <xf applyAlignment="true" applyBorder="false" applyFill="true" applyFont="true" applyNumberFormat="false" applyProtection="false" borderId="27" fillId="16" fontId="2" numFmtId="0" xfId="0">
      <alignment vertical="bottom"/>
    </xf>
    <xf applyAlignment="true" applyBorder="false" applyFill="false" applyFont="true" applyNumberFormat="false" applyProtection="false" borderId="28" fillId="0" fontId="2" numFmtId="0" xfId="0">
      <alignment horizontal="center" vertical="bottom" wrapText="true"/>
    </xf>
    <xf applyAlignment="true" applyBorder="false" applyFill="true" applyFont="true" applyNumberFormat="false" applyProtection="false" borderId="29" fillId="17" fontId="2" numFmtId="0" xfId="0">
      <alignment horizontal="center" vertical="bottom" wrapText="true"/>
    </xf>
    <xf applyAlignment="true" applyBorder="false" applyFill="false" applyFont="true" applyNumberFormat="false" applyProtection="false" borderId="30" fillId="0" fontId="8" numFmtId="0" xfId="0">
      <alignment horizontal="center" vertical="center" wrapText="true"/>
    </xf>
    <xf applyAlignment="true" applyBorder="false" applyFill="false" applyFont="true" applyNumberFormat="false" applyProtection="false" borderId="31" fillId="0" fontId="4" numFmtId="0" xfId="0">
      <alignment horizontal="center" vertical="center" wrapText="true"/>
    </xf>
    <xf applyAlignment="false" applyBorder="false" applyFill="true" applyFont="true" applyNumberFormat="false" applyProtection="false" borderId="32" fillId="18" fontId="9" numFmtId="0" xfId="0">
      <alignment/>
    </xf>
    <xf applyAlignment="false" applyBorder="false" applyFill="true" applyFont="true" applyNumberFormat="false" applyProtection="false" borderId="33" fillId="19" fontId="9" numFmtId="0" xfId="0">
      <alignment/>
    </xf>
  </cellXfs>
  <cellStyles count="1">
    <cellStyle builtinId="0" name="Normal" xfId="0"/>
  </cellStyles>
  <dxfs count="20"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EB9C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EB9C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EB9C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EB9C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EB9C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EB9C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EB9C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EB9C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EB9C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EB9C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C7CE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48" r="1">
      <c r="A1" s="1" t="str">
        <v>命名规则：</v>
      </c>
      <c r="C1" s="2" t="str">
        <v>9位</v>
      </c>
    </row>
    <row customHeight="true" ht="15" r="2">
      <c r="B2" s="4" t="str">
        <v>改的规则为：</v>
      </c>
      <c r="C2" s="4"/>
      <c r="D2" s="4" t="str">
        <v>A</v>
      </c>
      <c r="E2" s="4"/>
      <c r="F2" s="4" t="str">
        <v>B</v>
      </c>
      <c r="G2" s="4"/>
      <c r="H2" s="4" t="str">
        <v>CD</v>
      </c>
      <c r="I2" s="4" t="str">
        <v>EFGHI</v>
      </c>
    </row>
    <row customHeight="true" ht="15" r="3">
      <c r="B3" s="4"/>
      <c r="C3" s="4" t="str">
        <v>地图技能</v>
      </c>
      <c r="D3" s="4">
        <v>1</v>
      </c>
      <c r="E3" s="4" t="str">
        <v>星级</v>
      </c>
      <c r="F3" s="4" t="str">
        <v>0~9</v>
      </c>
      <c r="G3" s="4" t="str">
        <v>升级参数</v>
      </c>
      <c r="H3" s="4" t="str">
        <v>00~99</v>
      </c>
      <c r="I3" s="4" t="str">
        <v>常规字段</v>
      </c>
    </row>
    <row customHeight="true" ht="15" r="4">
      <c r="B4" s="4"/>
      <c r="C4" s="4" t="str">
        <v>物品技能</v>
      </c>
      <c r="D4" s="4">
        <v>2</v>
      </c>
      <c r="E4" s="4"/>
      <c r="F4" s="4"/>
      <c r="G4" s="4"/>
      <c r="H4" s="4"/>
      <c r="I4" s="4"/>
    </row>
    <row customHeight="true" ht="15" r="5">
      <c r="B5" s="4"/>
      <c r="C5" s="4" t="str">
        <v>怪物技能</v>
      </c>
      <c r="D5" s="4">
        <v>3</v>
      </c>
      <c r="E5" s="4"/>
      <c r="F5" s="4"/>
      <c r="G5" s="4"/>
      <c r="H5" s="4"/>
      <c r="I5" s="4"/>
    </row>
    <row customHeight="true" ht="15" r="6">
      <c r="B6" s="4"/>
      <c r="C6" s="4" t="str">
        <v>英雄技能</v>
      </c>
      <c r="D6" s="4">
        <v>4</v>
      </c>
      <c r="E6" s="4"/>
      <c r="F6" s="4"/>
      <c r="G6" s="4"/>
      <c r="H6" s="4"/>
      <c r="I6" s="4"/>
    </row>
    <row customHeight="true" ht="15" r="7">
      <c r="B7" s="4"/>
      <c r="C7" s="4"/>
      <c r="D7" s="4"/>
      <c r="E7" s="4" t="str">
        <v>举例：燃烧，0星球 为100000000</v>
      </c>
      <c r="F7" s="4"/>
      <c r="G7" s="4"/>
      <c r="H7" s="4"/>
      <c r="I7" s="4" t="str">
        <v>燃烧2级本身还属于燃烧，但它的ID是100100000</v>
      </c>
      <c r="M7" s="2">
        <v>100100000</v>
      </c>
    </row>
    <row customHeight="true" ht="15" r="8">
      <c r="B8" s="4"/>
      <c r="C8" s="4"/>
      <c r="D8" s="4"/>
      <c r="E8" s="4" t="str">
        <v>冰冻，0星球 为100000001</v>
      </c>
      <c r="F8" s="4"/>
      <c r="G8" s="4"/>
      <c r="H8" s="4"/>
      <c r="I8" s="4"/>
    </row>
    <row customHeight="true" ht="15" r="9"/>
    <row customHeight="true" ht="15" r="10">
      <c r="B10" s="2" t="str">
        <v>技能ID,子弹ID,BUFFID全部靠拢</v>
      </c>
    </row>
    <row customHeight="true" ht="15" r="11">
      <c r="A11" s="1" t="str">
        <v>技能资源</v>
      </c>
    </row>
    <row customHeight="true" ht="15" r="12">
      <c r="B12" s="2" t="str">
        <v>球撞击 hit_</v>
      </c>
      <c r="E12" s="2" t="str">
        <v>例如激光的球撞击hit</v>
      </c>
      <c r="H12" s="2" t="str">
        <v>这里理论上不用hit_100000001_1，不同级用同1个</v>
      </c>
    </row>
    <row customHeight="true" ht="15" r="13">
      <c r="B13" s="2" t="str">
        <v>发生的额外效果 effect_</v>
      </c>
      <c r="E13" s="2" t="str">
        <v>例如激光球的横特效</v>
      </c>
      <c r="H13" s="2" t="str">
        <v>也不用分级</v>
      </c>
    </row>
    <row customHeight="true" ht="15" r="14"/>
    <row customHeight="true" ht="15" r="15">
      <c r="A15" s="1" t="str">
        <v>buff资源</v>
      </c>
    </row>
    <row customHeight="true" ht="15" r="16">
      <c r="B16" s="2" t="str">
        <v>buff都加1列，用于读取真实资源</v>
      </c>
    </row>
    <row customHeight="true" ht="15" r="17">
      <c r="B17" s="2" t="str">
        <v>子弹表用复制对应ID的方式，例如buff_100000001</v>
      </c>
    </row>
    <row customHeight="true" ht="15" r="18">
      <c r="B18" s="2" t="str">
        <v>buff资源表支持多个buff用1个资源</v>
      </c>
    </row>
    <row customHeight="true" ht="15" r="19"/>
    <row customHeight="true" ht="15" r="20">
      <c r="A20" s="1" t="str">
        <v>子弹资源</v>
      </c>
    </row>
    <row customHeight="true" ht="15" r="21">
      <c r="B21" s="2" t="str">
        <v>常规时用技能ID对照，bullet_XXX；</v>
      </c>
    </row>
    <row customHeight="true" ht="15" r="22">
      <c r="B22" s="2" t="str">
        <v>人物子弹初始为0星，不用_，1星、2星时用_1，_2后缀；</v>
      </c>
    </row>
    <row customHeight="true" ht="15" r="23">
      <c r="B23" s="2" t="str">
        <v>例如冰弹：bullet_100000002 ，0星升级1星时为bullet_100000002_1</v>
      </c>
    </row>
    <row customHeight="true" ht="15" r="24">
      <c r="B24" s="3" t="str">
        <v>备注：这里加_为了处理吸收升星子弹长相变化</v>
      </c>
      <c r="C24" s="3"/>
      <c r="D24" s="3"/>
      <c r="E24" s="3"/>
      <c r="F24" s="3"/>
    </row>
    <row customHeight="true" ht="15" r="25">
      <c r="B25" s="3"/>
      <c r="C25" s="3"/>
      <c r="D25" s="3"/>
      <c r="E25" s="3"/>
      <c r="F25" s="3"/>
    </row>
    <row customHeight="true" ht="15" r="26">
      <c r="A26" s="1" t="str">
        <v>技能ICON资源</v>
      </c>
    </row>
    <row customHeight="true" ht="15" r="27">
      <c r="B27" s="2" t="str">
        <v>icon开头，前缀，例如Icon_100000003</v>
      </c>
    </row>
    <row customHeight="true" ht="15" r="28">
      <c r="B28" s="2" t="str">
        <v>也是跟着技能</v>
      </c>
    </row>
    <row customHeight="true" ht="15" r="29">
      <c r="B29" s="3" t="str">
        <v>备注：这里加_为了处理吸收升星子弹icon变化</v>
      </c>
      <c r="C29" s="3"/>
      <c r="D29" s="3"/>
      <c r="E29" s="3"/>
      <c r="F29" s="3"/>
      <c r="G29" s="3"/>
    </row>
    <row customHeight="true" ht="15" r="30"/>
    <row customHeight="true" ht="15" r="31">
      <c r="A31" s="1" t="str">
        <v>单位资源</v>
      </c>
    </row>
    <row customHeight="true" ht="15" r="32">
      <c r="B32" s="2" t="str">
        <v>以unit_2001，unit开头加单位表ID</v>
      </c>
    </row>
    <row customHeight="true" ht="15" r="33"/>
    <row customHeight="true" ht="15" r="34">
      <c r="A34" s="1" t="str">
        <v>物品ICON图标</v>
      </c>
    </row>
    <row customHeight="true" ht="15" r="35">
      <c r="B35" s="2" t="str">
        <v>item开头加物品表ID,例如item_100</v>
      </c>
    </row>
    <row customHeight="true" ht="15" r="36">
      <c r="B36" s="2" t="str">
        <v>如果物品本身有几种姿势形态，那么可以item_100_1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3"/>
    <col collapsed="false" customWidth="true" hidden="false" max="3" min="3" style="0" width="9"/>
    <col collapsed="false" customWidth="true" hidden="false" max="4" min="4" style="0" width="16"/>
    <col collapsed="false" customWidth="true" hidden="false" max="5" min="5" style="0" width="63"/>
    <col collapsed="false" customWidth="true" hidden="false" max="6" min="6" style="0" width="23"/>
    <col collapsed="false" customWidth="true" hidden="false" max="7" min="7" style="0" width="17"/>
    <col collapsed="false" customWidth="true" hidden="false" max="8" min="8" style="0" width="18"/>
    <col collapsed="false" customWidth="true" hidden="false" max="9" min="9" style="0" width="19"/>
    <col collapsed="false" customWidth="true" hidden="false" max="10" min="10" style="0" width="18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4" r="1">
      <c r="A1" s="23" t="str">
        <v>技能/球字段</v>
      </c>
      <c r="B1" s="23" t="str">
        <v>子弹名</v>
      </c>
      <c r="C1" s="23" t="str">
        <v>备注</v>
      </c>
      <c r="D1" s="23" t="str">
        <v>合成公式</v>
      </c>
      <c r="E1" s="25" t="str">
        <v>技能描述</v>
      </c>
      <c r="F1" s="24" t="str">
        <v>子弹/投射物ID</v>
      </c>
      <c r="G1" s="21" t="str">
        <v>打击爆点ID</v>
      </c>
      <c r="H1" s="21" t="str">
        <v>BUFF状态ID</v>
      </c>
      <c r="I1" s="21" t="str">
        <v>EFFECT特效ID</v>
      </c>
      <c r="J1" s="21" t="str">
        <v>ICON图标ID</v>
      </c>
      <c r="K1" s="22"/>
      <c r="L1" s="22"/>
      <c r="M1" s="22"/>
      <c r="N1" s="22"/>
      <c r="O1" s="22"/>
      <c r="P1" s="22"/>
      <c r="Q1" s="22"/>
      <c r="R1" s="22"/>
      <c r="S1" s="22"/>
      <c r="T1" s="22"/>
    </row>
    <row customHeight="true" ht="36" r="2">
      <c r="A2" s="8">
        <v>100000001</v>
      </c>
      <c r="B2" s="6" t="str">
        <v>燃烧</v>
      </c>
      <c r="C2" s="5"/>
      <c r="D2" s="5"/>
      <c r="E2" s="9" t="str">
        <v>基础造成$base攻击力的伤害。造成伤害时施加1层燃烧持续3秒，每层造成$arg1攻击力伤害，最多3层</v>
      </c>
      <c r="F2" s="5">
        <f>"bullet_"&amp;A2</f>
      </c>
      <c r="G2" s="5">
        <f>"hit_"&amp;A2</f>
      </c>
      <c r="H2" s="5">
        <f>"buff_"&amp;A2</f>
      </c>
      <c r="I2" s="5" t="str">
        <v>无</v>
      </c>
      <c r="J2" s="5">
        <f>"icon_"&amp;A2</f>
      </c>
    </row>
    <row customHeight="true" ht="36" r="3">
      <c r="A3" s="8">
        <v>100000002</v>
      </c>
      <c r="B3" s="6" t="str">
        <v>冰弹</v>
      </c>
      <c r="C3" s="5"/>
      <c r="D3" s="5"/>
      <c r="E3" s="9" t="str">
        <v>基础造成100%攻击力的伤害。造成伤害时4%概率附加冰冻5秒，冻住后受到25%受伤害放大</v>
      </c>
      <c r="F3" s="5">
        <f>"bullet_"&amp;A3</f>
      </c>
      <c r="G3" s="5">
        <f>"hit_"&amp;A3</f>
      </c>
      <c r="H3" s="5">
        <f>"buff_"&amp;A3</f>
      </c>
      <c r="I3" s="5" t="str">
        <v>无</v>
      </c>
      <c r="J3" s="5">
        <f>"icon_"&amp;A3</f>
      </c>
    </row>
    <row customHeight="true" ht="18" r="4">
      <c r="A4" s="8">
        <v>100000003</v>
      </c>
      <c r="B4" s="6" t="str">
        <v>幽灵</v>
      </c>
      <c r="C4" s="5"/>
      <c r="D4" s="5"/>
      <c r="E4" s="9" t="str">
        <v>基础造成100%攻击力的伤害。拥有穿透特性，子弹可穿过所有敌人</v>
      </c>
      <c r="F4" s="5">
        <f>"bullet_"&amp;A4</f>
      </c>
      <c r="G4" s="5">
        <f>"hit_"&amp;A4</f>
      </c>
      <c r="H4" s="5" t="str">
        <v>无</v>
      </c>
      <c r="I4" s="5" t="str">
        <v>无</v>
      </c>
      <c r="J4" s="5">
        <f>"icon_"&amp;A4</f>
      </c>
    </row>
    <row customHeight="true" ht="18" r="5">
      <c r="A5" s="8">
        <v>100000004</v>
      </c>
      <c r="B5" s="6" t="str">
        <v>竖向激光子弹</v>
      </c>
      <c r="C5" s="5"/>
      <c r="D5" s="5"/>
      <c r="E5" s="9" t="str">
        <v>基础造成100%攻击力的伤害。对竖排所有目标造成50%攻击力伤害</v>
      </c>
      <c r="F5" s="5">
        <f>"bullet_"&amp;A5</f>
      </c>
      <c r="G5" s="7">
        <f>"hit_"&amp;A5</f>
      </c>
      <c r="H5" s="5" t="str">
        <v>无</v>
      </c>
      <c r="I5" s="5">
        <f>"effect_"&amp;A5</f>
      </c>
      <c r="J5" s="5">
        <f>"icon_"&amp;A5</f>
      </c>
    </row>
    <row customHeight="true" ht="18" r="6">
      <c r="A6" s="8">
        <v>100000005</v>
      </c>
      <c r="B6" s="6" t="str">
        <v>横向激光子弹</v>
      </c>
      <c r="C6" s="5"/>
      <c r="D6" s="5"/>
      <c r="E6" s="9" t="str">
        <v>基础造成100%攻击力的伤害。对横排所有目标造成50%攻击力伤害</v>
      </c>
      <c r="F6" s="5">
        <f>"bullet_"&amp;A6</f>
      </c>
      <c r="G6" s="7">
        <f>"hit_"&amp;A6</f>
      </c>
      <c r="H6" s="5" t="str">
        <v>无</v>
      </c>
      <c r="I6" s="5">
        <f>"effect_"&amp;A6</f>
      </c>
      <c r="J6" s="5">
        <f>"icon_"&amp;A6</f>
      </c>
    </row>
    <row customHeight="true" ht="18" r="7">
      <c r="A7" s="10">
        <v>100000006</v>
      </c>
      <c r="B7" s="6" t="str">
        <v>黑铁</v>
      </c>
      <c r="C7" s="5"/>
      <c r="D7" s="5"/>
      <c r="E7" s="9" t="str">
        <v>基础造成220%攻击力的伤害。增加弹珠30%所有伤害，但弹珠移速下降40%</v>
      </c>
      <c r="F7" s="5">
        <f>"bullet_"&amp;A7</f>
      </c>
      <c r="G7" s="5">
        <f>"hit_"&amp;A7</f>
      </c>
      <c r="H7" s="5" t="str">
        <v>无</v>
      </c>
      <c r="I7" s="5" t="str">
        <v>无</v>
      </c>
      <c r="J7" s="5">
        <f>"icon_"&amp;A7</f>
      </c>
    </row>
    <row customHeight="true" ht="36" r="8">
      <c r="A8" s="8">
        <v>100000007</v>
      </c>
      <c r="B8" s="6" t="str">
        <v>毒</v>
      </c>
      <c r="C8" s="5"/>
      <c r="D8" s="5"/>
      <c r="E8" s="9" t="str">
        <v>基础造成100%攻击力的伤害。造成伤害时施加1层中毒，每层每秒20%攻击力的伤害，持续6秒</v>
      </c>
      <c r="F8" s="5">
        <f>"bullet_"&amp;A8</f>
      </c>
      <c r="G8" s="5">
        <f>"hit_"&amp;A8</f>
      </c>
      <c r="H8" s="5">
        <f>"buff_"&amp;A8</f>
      </c>
      <c r="I8" s="5" t="str">
        <v>无</v>
      </c>
      <c r="J8" s="5">
        <f>"icon_"&amp;A8</f>
      </c>
    </row>
    <row customHeight="true" ht="18" r="9">
      <c r="A9" s="8">
        <v>100000008</v>
      </c>
      <c r="B9" s="6" t="str">
        <v>地震</v>
      </c>
      <c r="C9" s="5"/>
      <c r="D9" s="5"/>
      <c r="E9" s="9" t="str">
        <v>基础造成100%攻击力的伤害。对3*3范围所有目标50%攻击力的伤害</v>
      </c>
      <c r="F9" s="5">
        <f>"bullet_"&amp;A9</f>
      </c>
      <c r="G9" s="7">
        <f>"hit_"&amp;A9</f>
      </c>
      <c r="H9" s="5" t="str">
        <v>无</v>
      </c>
      <c r="I9" s="5">
        <f>"effect_"&amp;A9</f>
      </c>
      <c r="J9" s="5">
        <f>"icon_"&amp;A9</f>
      </c>
    </row>
    <row customHeight="true" ht="36" r="10">
      <c r="A10" s="8">
        <v>100000009</v>
      </c>
      <c r="B10" s="6" t="str">
        <v>闪电</v>
      </c>
      <c r="C10" s="5"/>
      <c r="D10" s="5"/>
      <c r="E10" s="9" t="str">
        <v>基础造成100%攻击力的伤害。最多可弹射3个每个60%攻击力的伤害，最远弹射3格</v>
      </c>
      <c r="F10" s="5">
        <f>"bullet_"&amp;A10</f>
      </c>
      <c r="G10" s="7">
        <f>"hit_"&amp;A10</f>
      </c>
      <c r="H10" s="5" t="str">
        <v>无</v>
      </c>
      <c r="I10" s="5">
        <f>"effect_"&amp;A10</f>
      </c>
      <c r="J10" s="5">
        <f>"icon_"&amp;A10</f>
      </c>
    </row>
    <row customHeight="true" ht="36" r="11">
      <c r="A11" s="10">
        <v>100000010</v>
      </c>
      <c r="B11" s="6" t="str">
        <v>育母</v>
      </c>
      <c r="C11" s="5"/>
      <c r="D11" s="5"/>
      <c r="E11" s="9" t="str">
        <v>基础造成100%攻击力。每次命中有25%概率产生3个迷你子弹（造成60%撞击伤害），继承主子弹所有技能，造成25%威力的伤害。迷你子弹撞击后销毁</v>
      </c>
      <c r="F11" s="5">
        <f>"bullet_"&amp;A11</f>
      </c>
      <c r="G11" s="7">
        <f>"hit_"&amp;A11</f>
      </c>
      <c r="H11" s="5" t="str">
        <v>无</v>
      </c>
      <c r="I11" s="5" t="str">
        <v>无</v>
      </c>
      <c r="J11" s="5">
        <f>"icon_"&amp;A11</f>
      </c>
    </row>
    <row customHeight="true" ht="18" r="12">
      <c r="A12" s="10">
        <v>100100010</v>
      </c>
      <c r="B12" s="5" t="str">
        <v>育母迷你子弹</v>
      </c>
      <c r="C12" s="5"/>
      <c r="D12" s="5"/>
      <c r="E12" s="18" t="str">
        <v>通用迷你子弹,所有迷你子弹做一种即可，其他复制改名</v>
      </c>
      <c r="F12" s="17">
        <f>"bullet_"&amp;A12</f>
      </c>
      <c r="G12" s="5">
        <f>"hit_"&amp;A12</f>
      </c>
      <c r="H12" s="5" t="str">
        <v>无</v>
      </c>
      <c r="I12" s="5" t="str">
        <v>无</v>
      </c>
      <c r="J12" s="5" t="str">
        <v>无</v>
      </c>
    </row>
    <row customHeight="true" ht="36" r="13">
      <c r="A13" s="10">
        <v>100000011</v>
      </c>
      <c r="B13" s="6" t="str">
        <v>细胞</v>
      </c>
      <c r="C13" s="5"/>
      <c r="D13" s="5"/>
      <c r="E13" s="9" t="str">
        <v>基础造成100%攻击力。每3次碰撞产生1个迷你子弹（造成60%撞击伤害，不继承），迷你子弹可弹射4次。</v>
      </c>
      <c r="F13" s="5">
        <f>"bullet_"&amp;A13</f>
      </c>
      <c r="G13" s="5">
        <f>"hit_"&amp;A13</f>
      </c>
      <c r="H13" s="5" t="str">
        <v>无</v>
      </c>
      <c r="I13" s="5" t="str">
        <v>无</v>
      </c>
      <c r="J13" s="5">
        <f>"icon_"&amp;A13</f>
      </c>
    </row>
    <row customHeight="true" ht="18" r="14">
      <c r="A14" s="10">
        <v>100100011</v>
      </c>
      <c r="B14" s="5" t="str">
        <v>细胞迷你子弹</v>
      </c>
      <c r="C14" s="5"/>
      <c r="D14" s="5"/>
      <c r="E14" s="18" t="str">
        <v>通用迷你子弹</v>
      </c>
      <c r="F14" s="17">
        <f>"bullet_"&amp;A14</f>
      </c>
      <c r="G14" s="5">
        <f>"hit_"&amp;A14</f>
      </c>
      <c r="H14" s="5" t="str">
        <v>无</v>
      </c>
      <c r="I14" s="5" t="str">
        <v>无</v>
      </c>
      <c r="J14" s="5" t="str">
        <v>无</v>
      </c>
    </row>
    <row customHeight="true" ht="36" r="15">
      <c r="A15" s="10">
        <v>110000000</v>
      </c>
      <c r="B15" s="12" t="str">
        <v>炸弹</v>
      </c>
      <c r="C15" s="5"/>
      <c r="D15" s="13" t="str">
        <v>燃烧+黑铁</v>
      </c>
      <c r="E15" s="9" t="str">
        <v>基础造成300%攻击力的伤害。对目标和周围1格造成600%攻击力的轰炸伤害，炸了销毁，3秒CD</v>
      </c>
      <c r="F15" s="5">
        <f>"bullet_"&amp;A15</f>
      </c>
      <c r="G15" s="7">
        <f>"hit_"&amp;A15</f>
      </c>
      <c r="H15" s="5" t="str">
        <v>无</v>
      </c>
      <c r="I15" s="5">
        <f>"effect_"&amp;A15</f>
      </c>
      <c r="J15" s="5">
        <f>"icon_"&amp;A15</f>
      </c>
    </row>
    <row customHeight="true" ht="36" r="16">
      <c r="A16" s="10">
        <v>110000001</v>
      </c>
      <c r="B16" s="12" t="str">
        <v>刺客</v>
      </c>
      <c r="C16" s="5"/>
      <c r="D16" s="13" t="str">
        <v>黑铁+幽灵/黑暗+幽灵</v>
      </c>
      <c r="E16" s="9" t="str">
        <v>基础造成450%攻击力的伤害。从正面可穿过敌人，从背面不能穿但可造成30%额外伤害</v>
      </c>
      <c r="F16" s="5">
        <f>"bullet_"&amp;A16</f>
      </c>
      <c r="G16" s="5">
        <f>"hit_"&amp;A16</f>
      </c>
      <c r="H16" s="5" t="str">
        <v>无</v>
      </c>
      <c r="I16" s="5">
        <f>"effect_"&amp;A16</f>
      </c>
      <c r="J16" s="5">
        <f>"icon_"&amp;A16</f>
      </c>
    </row>
    <row customHeight="true" ht="36" r="17">
      <c r="A17" s="10">
        <v>110000002</v>
      </c>
      <c r="B17" s="12" t="str">
        <v>冰冻射线</v>
      </c>
      <c r="C17" s="5"/>
      <c r="D17" s="13" t="str">
        <v>冰冻+激光</v>
      </c>
      <c r="E17" s="9" t="str">
        <v>基础造成300%攻击力的伤害。对斜线上敌人造成150%攻击力的伤害。造成伤害时10%概率附加冰冻5秒</v>
      </c>
      <c r="F17" s="5">
        <f>"bullet_"&amp;A17</f>
      </c>
      <c r="G17" s="7">
        <f>"hit_"&amp;A17</f>
      </c>
      <c r="H17" s="5" t="str">
        <v>复用冰冻，无</v>
      </c>
      <c r="I17" s="5">
        <f>"effect_"&amp;A17</f>
      </c>
      <c r="J17" s="5">
        <f>"icon_"&amp;A17</f>
      </c>
    </row>
    <row customHeight="true" ht="18" r="18">
      <c r="A18" s="10">
        <v>110000003</v>
      </c>
      <c r="B18" s="12" t="str">
        <v>十字激光</v>
      </c>
      <c r="C18" s="5"/>
      <c r="D18" s="13" t="str">
        <v>激光+激光</v>
      </c>
      <c r="E18" s="9" t="str">
        <v>基础造成300%攻击力的伤害。对十字线路上敌人统一造成150%攻击力的伤害。</v>
      </c>
      <c r="F18" s="5">
        <f>"bullet_"&amp;A18</f>
      </c>
      <c r="G18" s="7">
        <f>"hit_"&amp;A18</f>
      </c>
      <c r="H18" s="5" t="str">
        <v>无</v>
      </c>
      <c r="I18" s="5">
        <f>"effect_"&amp;A18</f>
      </c>
      <c r="J18" s="5">
        <f>"icon_"&amp;A18</f>
      </c>
    </row>
    <row customHeight="true" ht="43" r="19">
      <c r="A19" s="10">
        <v>110000004</v>
      </c>
      <c r="B19" s="12" t="str">
        <v>冰冻之炎</v>
      </c>
      <c r="C19" s="5"/>
      <c r="D19" s="13" t="str">
        <v>冰冻+燃烧</v>
      </c>
      <c r="E19" s="11" t="s">
        <v>6</v>
      </c>
      <c r="F19" s="5">
        <f>"bullet_"&amp;A19</f>
      </c>
      <c r="G19" s="5">
        <f>"hit_"&amp;A19</f>
      </c>
      <c r="H19" s="5" t="str">
        <v>无</v>
      </c>
      <c r="I19" s="5">
        <f>"effect_"&amp;A19</f>
      </c>
      <c r="J19" s="5">
        <f>"icon_"&amp;A19</f>
      </c>
    </row>
    <row customHeight="true" ht="18" r="20">
      <c r="A20" s="10">
        <v>110000005</v>
      </c>
      <c r="B20" s="12" t="str">
        <v>怨灵</v>
      </c>
      <c r="C20" s="5"/>
      <c r="D20" s="13" t="str">
        <v>冰球+幽灵</v>
      </c>
      <c r="E20" s="9" t="str">
        <v>基础造成300%攻击力伤害。带穿透效果，且冰冻经过的敌人持续0.8秒</v>
      </c>
      <c r="F20" s="5">
        <f>"bullet_"&amp;A20</f>
      </c>
      <c r="G20" s="5">
        <f>"hit_"&amp;A20</f>
      </c>
      <c r="H20" s="5" t="str">
        <v>复用冰冻，无</v>
      </c>
      <c r="I20" s="5" t="str">
        <v>无</v>
      </c>
      <c r="J20" s="5">
        <f>"icon_"&amp;A20</f>
      </c>
    </row>
    <row customHeight="true" ht="57" r="21">
      <c r="A21" s="10">
        <v>110000006</v>
      </c>
      <c r="B21" s="12" t="str">
        <v>冰川</v>
      </c>
      <c r="C21" s="5"/>
      <c r="D21" s="13" t="str">
        <v>冰球+地震</v>
      </c>
      <c r="E21" s="11" t="s">
        <v>1</v>
      </c>
      <c r="F21" s="5">
        <f>"bullet_"&amp;A21</f>
      </c>
      <c r="G21" s="7">
        <f>"hit_"&amp;A21</f>
      </c>
      <c r="H21" s="5">
        <f>"buff_"&amp;A21</f>
      </c>
      <c r="I21" s="5">
        <f>"effect_"&amp;A21</f>
      </c>
      <c r="J21" s="5">
        <f>"icon_"&amp;A21</f>
      </c>
    </row>
    <row customHeight="true" ht="43" r="22">
      <c r="A22" s="10">
        <v>110000007</v>
      </c>
      <c r="B22" s="12" t="str">
        <v>避雷针</v>
      </c>
      <c r="C22" s="5"/>
      <c r="D22" s="13" t="str">
        <v>闪电+黑铁</v>
      </c>
      <c r="E22" s="11" t="s">
        <v>3</v>
      </c>
      <c r="F22" s="5">
        <f>"bullet_"&amp;A22</f>
      </c>
      <c r="G22" s="5">
        <f>"hit_"&amp;A22</f>
      </c>
      <c r="H22" s="5" t="str">
        <v>无</v>
      </c>
      <c r="I22" s="5">
        <f>"effect_"&amp;A22</f>
      </c>
      <c r="J22" s="5">
        <f>"icon_"&amp;A22</f>
      </c>
    </row>
    <row customHeight="true" ht="43" r="23">
      <c r="A23" s="10">
        <v>110000008</v>
      </c>
      <c r="B23" s="12" t="str">
        <v>熔岩</v>
      </c>
      <c r="C23" s="5"/>
      <c r="D23" s="13" t="str">
        <v>火球+地震</v>
      </c>
      <c r="E23" s="11" t="s">
        <v>5</v>
      </c>
      <c r="F23" s="5">
        <f>"bullet_"&amp;A23</f>
      </c>
      <c r="G23" s="15">
        <f>"hit_"&amp;A23</f>
      </c>
      <c r="H23" s="5" t="str">
        <v>无</v>
      </c>
      <c r="I23" s="5">
        <f>"effect_"&amp;A23</f>
      </c>
      <c r="J23" s="5">
        <f>"icon_"&amp;A23</f>
      </c>
    </row>
    <row customHeight="true" ht="36" r="24">
      <c r="A24" s="10">
        <v>110000009</v>
      </c>
      <c r="B24" s="12" t="str">
        <v>辐射光束</v>
      </c>
      <c r="C24" s="5"/>
      <c r="D24" s="13" t="str">
        <v>激光+毒素</v>
      </c>
      <c r="E24" s="9" t="str">
        <v>对主目标造成300%攻击力伤害，对斜线上敌人造成150%攻击力的伤害。伤害时施加1层15秒的核辐射，最多5层，每层造成10%额外伤害</v>
      </c>
      <c r="F24" s="5">
        <f>"bullet_"&amp;A24</f>
      </c>
      <c r="G24" s="15">
        <f>"hit_"&amp;A24</f>
      </c>
      <c r="H24" s="5">
        <f>"buff_"&amp;A24</f>
      </c>
      <c r="I24" s="5">
        <f>"effect_"&amp;A24</f>
      </c>
      <c r="J24" s="5">
        <f>"icon_"&amp;A24</f>
      </c>
    </row>
    <row customHeight="true" ht="43" r="25">
      <c r="A25" s="8">
        <v>110000010</v>
      </c>
      <c r="B25" s="12" t="str">
        <v>暴风雪</v>
      </c>
      <c r="C25" s="5"/>
      <c r="D25" s="13" t="str">
        <v>冰冻+闪电</v>
      </c>
      <c r="E25" s="11" t="str">
        <v>基础造成240%伤害，每秒对弹珠周围1.5格范围内敌人造成240%伤害并减移速30%，撞击屏幕底部后产生额外的风暴气旋可造成附近1.5格600%伤害并减移速30%（自动跟踪，持续4秒）</v>
      </c>
      <c r="F25" s="5">
        <f>"bullet_"&amp;A25</f>
      </c>
      <c r="G25" s="15">
        <f>"hit_"&amp;A25</f>
      </c>
      <c r="H25" s="5" t="str">
        <v>复用减速，无</v>
      </c>
      <c r="I25" s="5">
        <f>"effect_"&amp;A25</f>
      </c>
      <c r="J25" s="5">
        <f>"icon_"&amp;A25</f>
      </c>
    </row>
    <row customHeight="true" ht="36" r="26">
      <c r="A26" s="10">
        <v>110000011</v>
      </c>
      <c r="B26" s="12" t="str">
        <v>蛆虫</v>
      </c>
      <c r="C26" s="5"/>
      <c r="D26" s="13" t="str">
        <v>育母+幽灵</v>
      </c>
      <c r="E26" s="9" t="str">
        <v>基础造成200%伤害。打中敌人后施加蛆虫，使得其死亡时分列出1~2颗迷你子弹（100%基础攻击力），继承主子弹所有技能，造成25%威力的伤害。</v>
      </c>
      <c r="F26" s="5">
        <f>"bullet_"&amp;A26</f>
      </c>
      <c r="G26" s="5">
        <f>"hit_"&amp;A26</f>
      </c>
      <c r="H26" s="5">
        <f>"buff_"&amp;A26</f>
      </c>
      <c r="I26" s="5">
        <f>"effect_"&amp;A26</f>
      </c>
      <c r="J26" s="5">
        <f>"icon_"&amp;A26</f>
      </c>
    </row>
    <row customHeight="true" ht="18" r="27">
      <c r="A27" s="10">
        <v>110100011</v>
      </c>
      <c r="B27" s="12" t="str">
        <v>蛆虫迷你子弹</v>
      </c>
      <c r="C27" s="5"/>
      <c r="D27" s="5"/>
      <c r="E27" s="18" t="str">
        <v>通用迷你子弹</v>
      </c>
      <c r="F27" s="17">
        <f>"bullet_"&amp;A27</f>
      </c>
      <c r="G27" s="5">
        <f>"hit_"&amp;A27</f>
      </c>
      <c r="H27" s="5" t="str">
        <v>无</v>
      </c>
      <c r="I27" s="5">
        <f>"effect_"&amp;A27</f>
      </c>
      <c r="J27" s="5" t="str">
        <v>无</v>
      </c>
    </row>
    <row customHeight="true" ht="57" r="28">
      <c r="A28" s="10">
        <v>120000000</v>
      </c>
      <c r="B28" s="14" t="str">
        <v>核弹</v>
      </c>
      <c r="C28" s="5"/>
      <c r="D28" s="13" t="str">
        <v>炸弹+2级毒素</v>
      </c>
      <c r="E28" s="11" t="str">
        <v>
基础造成600%攻击伤害。命中敌人时爆炸，对1.5格范围造成1500%攻击力的伤害效果，伤害时施加1层10秒的核辐射，最多5层，每层造成10%额外伤害。3秒CD。</v>
      </c>
      <c r="F28" s="5">
        <f>"bullet_"&amp;A28</f>
      </c>
      <c r="G28" s="15">
        <f>"hit_"&amp;A28</f>
      </c>
      <c r="H28" s="5">
        <f>"buff_"&amp;A28</f>
      </c>
      <c r="I28" s="5">
        <f>"effect_"&amp;A28</f>
      </c>
      <c r="J28" s="5">
        <f>"icon_"&amp;A28</f>
      </c>
    </row>
    <row customHeight="true" ht="57" r="29">
      <c r="A29" s="10">
        <v>120000001</v>
      </c>
      <c r="B29" s="14" t="str">
        <v>岩浆风暴</v>
      </c>
      <c r="C29" s="5"/>
      <c r="D29" s="13" t="str">
        <v>熔岩+暴风雪</v>
      </c>
      <c r="E29" s="11" t="s">
        <v>2</v>
      </c>
      <c r="F29" s="5">
        <f>"bullet_"&amp;A29</f>
      </c>
      <c r="G29" s="15">
        <f>"hit_"&amp;A29</f>
      </c>
      <c r="H29" s="5" t="str">
        <v>复用燃烧，无</v>
      </c>
      <c r="I29" s="5">
        <f>"effect_"&amp;A29</f>
      </c>
      <c r="J29" s="5">
        <f>"icon_"&amp;A29</f>
      </c>
    </row>
    <row customHeight="true" ht="57" r="30">
      <c r="A30" s="10">
        <v>120000002</v>
      </c>
      <c r="B30" s="14" t="str">
        <v>冰刃风暴</v>
      </c>
      <c r="C30" s="5"/>
      <c r="D30" s="13" t="str">
        <v>冰川+暴风雪</v>
      </c>
      <c r="E30" s="11" t="s">
        <v>4</v>
      </c>
      <c r="F30" s="5">
        <f>"bullet_"&amp;A30</f>
      </c>
      <c r="G30" s="15">
        <f>"hit_"&amp;A30</f>
      </c>
      <c r="H30" s="5" t="str">
        <v>复用冰冻，无</v>
      </c>
      <c r="I30" s="5">
        <f>"effect_"&amp;A30</f>
      </c>
      <c r="J30" s="5">
        <f>"icon_"&amp;A30</f>
      </c>
    </row>
    <row customHeight="true" ht="29" r="31">
      <c r="A31" s="10">
        <v>120000003</v>
      </c>
      <c r="B31" s="14" t="str">
        <v>风暴十字</v>
      </c>
      <c r="C31" s="5"/>
      <c r="D31" s="13" t="str">
        <v>十字+暴风雪</v>
      </c>
      <c r="E31" s="11" t="str">
        <v>基础造成550%攻击力的伤害。带有穿透，撞击时对十字线路上敌人统一造成300%攻击力的伤害且冰冻1秒，CD1秒。</v>
      </c>
      <c r="F31" s="5">
        <f>"bullet_"&amp;A31</f>
      </c>
      <c r="G31" s="15">
        <f>"hit_"&amp;A31</f>
      </c>
      <c r="H31" s="5" t="str">
        <v>复用冰冻，无</v>
      </c>
      <c r="I31" s="5">
        <f>"effect_"&amp;A31</f>
      </c>
      <c r="J31" s="5">
        <f>"icon_"&amp;A31</f>
      </c>
    </row>
    <row customHeight="true" ht="18" r="32">
      <c r="A32" s="10">
        <v>120000004</v>
      </c>
      <c r="B32" s="14" t="str">
        <v>神圣十字</v>
      </c>
      <c r="C32" s="5"/>
      <c r="D32" s="13" t="str">
        <v>2级横+2级竖</v>
      </c>
      <c r="E32" s="19" t="str">
        <v>基础造成500%攻击力，对十字线路上其他敌人造成450%攻击力的伤害</v>
      </c>
      <c r="F32" s="5">
        <f>"bullet_"&amp;A32</f>
      </c>
      <c r="G32" s="15">
        <f>"hit_"&amp;A32</f>
      </c>
      <c r="H32" s="5" t="str">
        <v>无</v>
      </c>
      <c r="I32" s="5">
        <f>"effect_"&amp;A32</f>
      </c>
      <c r="J32" s="5">
        <f>"icon_"&amp;A32</f>
      </c>
    </row>
    <row customHeight="true" ht="38" r="33">
      <c r="A33" s="10">
        <v>120000005</v>
      </c>
      <c r="B33" s="14" t="str">
        <v>爆裂十字</v>
      </c>
      <c r="C33" s="5"/>
      <c r="D33" s="13" t="str">
        <v>蛆虫+十字</v>
      </c>
      <c r="E33" s="19" t="str">
        <v>弹珠对主目标造成500%伤害。对十字线路上其他敌人造成300%攻击力的伤害。打中敌人后施加蛆虫，使得其死亡时分列出2颗迷你子弹(170%撞击伤害），继承主子弹所有技能，造成25%威力的伤害。</v>
      </c>
      <c r="F33" s="5">
        <f>"bullet_"&amp;A33</f>
      </c>
      <c r="G33" s="15">
        <f>"hit_"&amp;A33</f>
      </c>
      <c r="H33" s="5" t="str">
        <v>复用蛆虫，无</v>
      </c>
      <c r="I33" s="5">
        <f>"effect_"&amp;A33</f>
      </c>
      <c r="J33" s="5">
        <f>"icon_"&amp;A33</f>
      </c>
    </row>
    <row customHeight="true" ht="38" r="34">
      <c r="A34" s="10">
        <v>120000006</v>
      </c>
      <c r="B34" s="14" t="str">
        <v>霜能射线</v>
      </c>
      <c r="C34" s="5"/>
      <c r="D34" s="13" t="str">
        <v>蛆虫+冰冻射线</v>
      </c>
      <c r="E34" s="19" t="str">
        <v>基础造成500%攻击力伤害，对斜线上其他目标造成300%伤害且15%概率冰冻4秒。弹珠撞击敌人后施加蛆虫，使得其死亡时分列出2颗迷你子弹（170%撞击伤害），继承主子弹所有技能，造成20%威力的伤害。</v>
      </c>
      <c r="F34" s="5">
        <f>"bullet_"&amp;A34</f>
      </c>
      <c r="G34" s="15">
        <f>"hit_"&amp;A34</f>
      </c>
      <c r="H34" s="5" t="str">
        <v>复用冰冻，蛆虫，无</v>
      </c>
      <c r="I34" s="5">
        <f>"effect_"&amp;A34</f>
      </c>
      <c r="J34" s="5">
        <f>"icon_"&amp;A34</f>
      </c>
    </row>
    <row customHeight="true" ht="38" r="35">
      <c r="A35" s="10">
        <v>120000007</v>
      </c>
      <c r="B35" s="14" t="str">
        <v>多重辐射</v>
      </c>
      <c r="C35" s="5"/>
      <c r="D35" s="13" t="str">
        <v>蛆虫+辐射光束</v>
      </c>
      <c r="E35" s="19" t="str">
        <v>基础造成500%攻击力伤害，对斜线上其他目标造成300%伤害，并施加1层辐射；弹珠撞击敌人后施加蛆虫，使得其死亡时分列出2颗迷你子弹（170%撞击伤害），继承主子弹所有技能，造成25%威力的伤害。</v>
      </c>
      <c r="F35" s="5">
        <f>"bullet_"&amp;A35</f>
      </c>
      <c r="G35" s="15">
        <f>"hit_"&amp;A35</f>
      </c>
      <c r="H35" s="5" t="str">
        <v>复用辐射，蛆虫，无</v>
      </c>
      <c r="I35" s="5">
        <f>"effect_"&amp;A35</f>
      </c>
      <c r="J35" s="5">
        <f>"icon_"&amp;A35</f>
      </c>
    </row>
    <row customHeight="true" ht="18" r="36">
      <c r="A36" s="16">
        <v>300000001</v>
      </c>
      <c r="B36" s="10" t="str">
        <v>骷髅弓箭</v>
      </c>
      <c r="C36" s="5"/>
      <c r="D36" s="5"/>
      <c r="E36" s="11" t="str">
        <v>骷髅远程打出的弓箭</v>
      </c>
      <c r="F36" s="5">
        <f>"bullet_"&amp;A36</f>
      </c>
      <c r="G36" s="5">
        <f>"hit_"&amp;A36</f>
      </c>
      <c r="H36" s="5" t="str">
        <v>无</v>
      </c>
      <c r="I36" s="5" t="str">
        <v>无</v>
      </c>
      <c r="J36" s="5" t="str">
        <v>无</v>
      </c>
    </row>
    <row customHeight="true" ht="18" r="37">
      <c r="A37" s="16">
        <v>300000002</v>
      </c>
      <c r="B37" s="10" t="str">
        <v>法师2*1投射</v>
      </c>
      <c r="C37" s="5"/>
      <c r="D37" s="5"/>
      <c r="E37" s="11" t="str">
        <v>法师打出的，黑球？</v>
      </c>
      <c r="F37" s="5">
        <f>"bullet_"&amp;A37</f>
      </c>
      <c r="G37" s="5">
        <f>"hit_"&amp;A37</f>
      </c>
      <c r="H37" s="5" t="str">
        <v>无</v>
      </c>
      <c r="I37" s="5" t="str">
        <v>无</v>
      </c>
      <c r="J37" s="5" t="str">
        <v>无</v>
      </c>
    </row>
    <row customHeight="true" ht="18" r="38">
      <c r="A38" s="16">
        <v>300000003</v>
      </c>
      <c r="B38" s="10" t="str">
        <v>BOSS投射</v>
      </c>
      <c r="C38" s="5"/>
      <c r="D38" s="5"/>
      <c r="E38" s="11" t="str">
        <v>一道剑光，飞行速度正常，玩家可躲避</v>
      </c>
      <c r="F38" s="5">
        <f>"bullet_"&amp;A38</f>
      </c>
      <c r="G38" s="5">
        <f>"hit_"&amp;A38</f>
      </c>
      <c r="H38" s="5" t="str">
        <v>无</v>
      </c>
      <c r="I38" s="5" t="str">
        <v>无</v>
      </c>
      <c r="J38" s="5" t="str">
        <v>无</v>
      </c>
    </row>
    <row customHeight="true" ht="18" r="39">
      <c r="A39" s="16">
        <v>300000004</v>
      </c>
      <c r="B39" s="10" t="str">
        <v>死骑精英攻击</v>
      </c>
      <c r="C39" s="5"/>
      <c r="D39" s="5"/>
      <c r="E39" s="11" t="str">
        <v>一道剑光，飞行速度策划改快让玩家无法规避</v>
      </c>
      <c r="F39" s="5">
        <f>"bullet_"&amp;A39</f>
      </c>
      <c r="G39" s="5">
        <f>"hit_"&amp;A39</f>
      </c>
      <c r="H39" s="5" t="str">
        <v>无</v>
      </c>
      <c r="I39" s="5" t="str">
        <v>无</v>
      </c>
      <c r="J39" s="5" t="str">
        <v>无</v>
      </c>
    </row>
    <row customHeight="true" ht="18" r="40">
      <c r="A40" s="16">
        <v>300000007</v>
      </c>
      <c r="B40" s="10" t="str">
        <v>精英法师投射物</v>
      </c>
      <c r="C40" s="5"/>
      <c r="D40" s="5"/>
      <c r="E40" s="11" t="str">
        <v>精英法师打出的</v>
      </c>
      <c r="F40" s="5">
        <f>"bullet_"&amp;A40</f>
      </c>
      <c r="G40" s="5">
        <f>"hit_"&amp;A40</f>
      </c>
      <c r="H40" s="5" t="str">
        <v>无</v>
      </c>
      <c r="I40" s="5" t="str">
        <v>无</v>
      </c>
      <c r="J40" s="5" t="str">
        <v>无</v>
      </c>
    </row>
    <row customHeight="true" ht="18" r="41">
      <c r="A41" s="20">
        <v>400000000</v>
      </c>
      <c r="B41" s="10" t="str">
        <v>局外迷你子弹</v>
      </c>
      <c r="C41" s="5" t="str">
        <v>通用迷你子弹</v>
      </c>
      <c r="D41" s="5"/>
      <c r="E41" s="18" t="str">
        <v>通用迷你子弹</v>
      </c>
      <c r="F41" s="17">
        <f>"bullet_"&amp;A41</f>
      </c>
      <c r="G41" s="5">
        <f>"hit_"&amp;A41</f>
      </c>
      <c r="H41" s="5" t="str">
        <v>无</v>
      </c>
      <c r="I41" s="5" t="str">
        <v>无</v>
      </c>
      <c r="J41" s="5" t="str">
        <v>无</v>
      </c>
    </row>
  </sheetData>
  <legacy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7"/>
    <col collapsed="false" customWidth="true" hidden="false" max="3" min="3" style="0" width="15"/>
    <col collapsed="false" customWidth="true" hidden="false" max="4" min="4" style="0" width="23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3" r="1">
      <c r="A1" s="26" t="str">
        <v>单位</v>
      </c>
      <c r="B1" s="26" t="str">
        <v>名字</v>
      </c>
      <c r="C1" s="26" t="str">
        <v>单位预制体ID</v>
      </c>
      <c r="D1" s="27" t="str">
        <v>介绍</v>
      </c>
    </row>
    <row customHeight="true" ht="15" r="2">
      <c r="A2" s="28">
        <v>1001</v>
      </c>
      <c r="B2" s="28" t="str">
        <v>角色1</v>
      </c>
      <c r="C2" s="2">
        <f>"unit_"&amp;A2</f>
      </c>
      <c r="D2" s="2" t="str">
        <v>英雄</v>
      </c>
    </row>
    <row customHeight="true" ht="15" r="3">
      <c r="A3" s="28">
        <v>2001</v>
      </c>
      <c r="B3" s="29" t="str">
        <v>冰锥</v>
      </c>
      <c r="C3" s="2">
        <f>"unit_"&amp;A3</f>
      </c>
    </row>
    <row customHeight="true" ht="15" r="4">
      <c r="A4" s="28">
        <v>2002</v>
      </c>
      <c r="B4" s="29" t="str">
        <v>岩浆</v>
      </c>
      <c r="C4" s="2">
        <f>"unit_"&amp;A4</f>
      </c>
    </row>
    <row customHeight="true" ht="15" r="5">
      <c r="A5" s="28">
        <v>2003</v>
      </c>
      <c r="B5" s="29" t="str">
        <v>岩浆旋风</v>
      </c>
      <c r="C5" s="2">
        <f>"unit_"&amp;A5</f>
      </c>
    </row>
    <row customHeight="true" ht="15" r="6">
      <c r="A6" s="28">
        <v>2004</v>
      </c>
      <c r="B6" s="29" t="str">
        <v>大冰锥</v>
      </c>
      <c r="C6" s="2">
        <f>"unit_"&amp;A6</f>
      </c>
    </row>
    <row customHeight="true" ht="26" r="7">
      <c r="A7" s="28">
        <v>3001</v>
      </c>
      <c r="B7" s="30" t="str">
        <v>骷髅战士(1*1)</v>
      </c>
      <c r="C7" s="2">
        <f>"unit_"&amp;A7</f>
      </c>
      <c r="D7" s="2" t="str">
        <v>这个写需求的时候写上</v>
      </c>
    </row>
    <row customHeight="true" ht="26" r="8">
      <c r="A8" s="28">
        <v>3002</v>
      </c>
      <c r="B8" s="30" t="str">
        <v>骷髅弓手(1*1)</v>
      </c>
      <c r="C8" s="2">
        <f>"unit_"&amp;A8</f>
      </c>
    </row>
    <row customHeight="true" ht="26" r="9">
      <c r="A9" s="28">
        <v>3003</v>
      </c>
      <c r="B9" s="30" t="str">
        <v>骷髅法师（2*1）</v>
      </c>
      <c r="C9" s="2">
        <f>"unit_"&amp;A9</f>
      </c>
    </row>
    <row customHeight="true" ht="26" r="10">
      <c r="A10" s="28">
        <v>3004</v>
      </c>
      <c r="B10" s="30" t="str">
        <v>骷髅骑士（1*2）</v>
      </c>
      <c r="C10" s="2">
        <f>"unit_"&amp;A10</f>
      </c>
    </row>
    <row customHeight="true" ht="26" r="11">
      <c r="A11" s="28">
        <v>3006</v>
      </c>
      <c r="B11" s="31" t="str">
        <v>骷髅冰法（4*2）</v>
      </c>
      <c r="C11" s="2">
        <f>"unit_"&amp;A11</f>
      </c>
    </row>
    <row customHeight="true" ht="26" r="12">
      <c r="A12" s="28">
        <v>3007</v>
      </c>
      <c r="B12" s="30" t="str">
        <v>骷髅死骑（2*4）</v>
      </c>
      <c r="C12" s="2">
        <f>"unit_"&amp;A12</f>
      </c>
    </row>
    <row customHeight="true" ht="26" r="13">
      <c r="A13" s="28">
        <v>3008</v>
      </c>
      <c r="B13" s="30" t="str">
        <v>巫妖王（3*3）</v>
      </c>
      <c r="C13" s="2">
        <f>"unit_"&amp;A13</f>
      </c>
    </row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  <conditionalFormatting sqref="A6:A6">
    <cfRule dxfId="0" operator="equal" priority="2" stopIfTrue="true" type="cellIs">
      <formula>"进化结合"</formula>
    </cfRule>
  </conditionalFormatting>
  <conditionalFormatting sqref="A6:A6">
    <cfRule dxfId="1" operator="equal" priority="3" stopIfTrue="true" type="cellIs">
      <formula>"吸收叠加"</formula>
    </cfRule>
  </conditionalFormatting>
  <conditionalFormatting sqref="A6:A6">
    <cfRule dxfId="2" operator="equal" priority="4" stopIfTrue="true" type="cellIs">
      <formula>"吸收堆叠"</formula>
    </cfRule>
  </conditionalFormatting>
  <conditionalFormatting sqref="A6:A6">
    <cfRule dxfId="3" operator="equal" priority="5" stopIfTrue="true" type="cellIs">
      <formula>"进化堆叠"</formula>
    </cfRule>
  </conditionalFormatting>
  <conditionalFormatting sqref="A5:A5">
    <cfRule dxfId="4" operator="equal" priority="6" stopIfTrue="true" type="cellIs">
      <formula>"进化结合"</formula>
    </cfRule>
  </conditionalFormatting>
  <conditionalFormatting sqref="A5:A5">
    <cfRule dxfId="5" operator="equal" priority="7" stopIfTrue="true" type="cellIs">
      <formula>"吸收叠加"</formula>
    </cfRule>
  </conditionalFormatting>
  <conditionalFormatting sqref="A5:A5">
    <cfRule dxfId="6" operator="equal" priority="8" stopIfTrue="true" type="cellIs">
      <formula>"吸收堆叠"</formula>
    </cfRule>
  </conditionalFormatting>
  <conditionalFormatting sqref="A5:A5">
    <cfRule dxfId="7" operator="equal" priority="9" stopIfTrue="true" type="cellIs">
      <formula>"进化堆叠"</formula>
    </cfRule>
  </conditionalFormatting>
  <conditionalFormatting sqref="A3:A4">
    <cfRule dxfId="8" operator="equal" priority="10" stopIfTrue="true" type="cellIs">
      <formula>"进化结合"</formula>
    </cfRule>
  </conditionalFormatting>
  <conditionalFormatting sqref="A3:A4">
    <cfRule dxfId="9" operator="equal" priority="11" stopIfTrue="true" type="cellIs">
      <formula>"吸收叠加"</formula>
    </cfRule>
  </conditionalFormatting>
  <conditionalFormatting sqref="A3:A4">
    <cfRule dxfId="10" operator="equal" priority="12" stopIfTrue="true" type="cellIs">
      <formula>"吸收堆叠"</formula>
    </cfRule>
  </conditionalFormatting>
  <conditionalFormatting sqref="A3:A4">
    <cfRule dxfId="11" operator="equal" priority="13" stopIfTrue="true" type="cellIs">
      <formula>"进化堆叠"</formula>
    </cfRule>
  </conditionalFormatting>
  <conditionalFormatting sqref="A7:B8">
    <cfRule dxfId="12" operator="equal" priority="14" stopIfTrue="true" type="cellIs">
      <formula>"进化结合"</formula>
    </cfRule>
  </conditionalFormatting>
  <conditionalFormatting sqref="A7:B8">
    <cfRule dxfId="13" operator="equal" priority="15" stopIfTrue="true" type="cellIs">
      <formula>"吸收叠加"</formula>
    </cfRule>
  </conditionalFormatting>
  <conditionalFormatting sqref="A7:B8">
    <cfRule dxfId="14" operator="equal" priority="16" stopIfTrue="true" type="cellIs">
      <formula>"吸收堆叠"</formula>
    </cfRule>
  </conditionalFormatting>
  <conditionalFormatting sqref="A7:B8">
    <cfRule dxfId="15" operator="equal" priority="17" stopIfTrue="true" type="cellIs">
      <formula>"进化堆叠"</formula>
    </cfRule>
  </conditionalFormatting>
  <conditionalFormatting sqref="A2:A2 A9:A13">
    <cfRule dxfId="16" operator="equal" priority="18" stopIfTrue="true" type="cellIs">
      <formula>"进化结合"</formula>
    </cfRule>
  </conditionalFormatting>
  <conditionalFormatting sqref="A2:A2 A9:A13">
    <cfRule dxfId="17" operator="equal" priority="19" stopIfTrue="true" type="cellIs">
      <formula>"吸收叠加"</formula>
    </cfRule>
  </conditionalFormatting>
  <conditionalFormatting sqref="A2:A2 A9:A13">
    <cfRule dxfId="18" operator="equal" priority="20" stopIfTrue="true" type="cellIs">
      <formula>"吸收堆叠"</formula>
    </cfRule>
  </conditionalFormatting>
  <conditionalFormatting sqref="A2:A2 A9:A13">
    <cfRule dxfId="19" operator="equal" priority="21" stopIfTrue="true" type="cellIs">
      <formula>"进化堆叠"</formula>
    </cfRule>
  </conditionalFormatting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8"/>
    <col collapsed="false" customWidth="true" hidden="false" max="3" min="3" style="0" width="18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2" r="1">
      <c r="A1" s="21" t="str">
        <v>物品字段</v>
      </c>
      <c r="B1" s="24" t="str">
        <v>物品名</v>
      </c>
      <c r="C1" s="21" t="str">
        <v>物品ICON_ID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customHeight="true" ht="15" r="2">
      <c r="A2" s="5">
        <v>100</v>
      </c>
      <c r="B2" s="11" t="str">
        <v>经验颗粒</v>
      </c>
      <c r="C2" s="5">
        <f>"item_"&amp;A2</f>
      </c>
    </row>
    <row customHeight="true" ht="15" r="3">
      <c r="A3" s="5">
        <v>101</v>
      </c>
      <c r="B3" s="11" t="str">
        <v>经验结晶</v>
      </c>
      <c r="C3" s="5">
        <f>"item_"&amp;A3</f>
      </c>
    </row>
    <row customHeight="true" ht="15" r="4">
      <c r="A4" s="5">
        <v>102</v>
      </c>
      <c r="B4" s="11" t="str">
        <v>经验结石</v>
      </c>
      <c r="C4" s="5">
        <f>"item_"&amp;A4</f>
      </c>
    </row>
    <row customHeight="true" ht="15" r="5">
      <c r="A5" s="5">
        <v>103</v>
      </c>
      <c r="B5" s="11" t="str">
        <v>经验宝石</v>
      </c>
      <c r="C5" s="5">
        <f>"item_"&amp;A5</f>
      </c>
    </row>
    <row customHeight="true" ht="15" r="6">
      <c r="A6" s="5">
        <v>104</v>
      </c>
      <c r="B6" s="11" t="str">
        <v>小金币</v>
      </c>
      <c r="C6" s="5">
        <f>"item_"&amp;A6</f>
      </c>
    </row>
    <row customHeight="true" ht="15" r="7">
      <c r="A7" s="5">
        <v>105</v>
      </c>
      <c r="B7" s="11" t="str">
        <v>大金币</v>
      </c>
      <c r="C7" s="5">
        <f>"item_"&amp;A7</f>
      </c>
    </row>
    <row customHeight="true" ht="15" r="8">
      <c r="A8" s="5">
        <v>106</v>
      </c>
      <c r="B8" s="11" t="str">
        <v>金块</v>
      </c>
      <c r="C8" s="5">
        <f>"item_"&amp;A8</f>
      </c>
    </row>
    <row customHeight="true" ht="15" r="9">
      <c r="A9" s="5">
        <v>107</v>
      </c>
      <c r="B9" s="11" t="str">
        <v>金砖</v>
      </c>
      <c r="C9" s="5">
        <f>"item_"&amp;A9</f>
      </c>
    </row>
    <row customHeight="true" ht="15" r="10">
      <c r="A10" s="5">
        <v>108</v>
      </c>
      <c r="B10" s="11" t="str">
        <v>血瓶</v>
      </c>
      <c r="C10" s="5">
        <f>"item_"&amp;A10</f>
      </c>
    </row>
    <row customHeight="true" ht="15" r="11">
      <c r="A11" s="5">
        <v>109</v>
      </c>
      <c r="B11" s="13" t="str">
        <v>局内宝箱</v>
      </c>
      <c r="C11" s="5">
        <f>"item_"&amp;A11</f>
      </c>
    </row>
    <row customHeight="true" ht="15" r="12">
      <c r="A12" s="5">
        <v>110</v>
      </c>
      <c r="B12" s="13" t="str">
        <v>炼金大锅</v>
      </c>
      <c r="C12" s="5">
        <f>"item_"&amp;A12</f>
      </c>
    </row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